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utler\AppData\Local\Microsoft\Olk\Attachments\ooa-fb8b4906-07d2-4781-b138-463142c4697f\cd62179be4d858a6202519b6a23754359d09321749b35b78444476a4f04a2d2e\"/>
    </mc:Choice>
  </mc:AlternateContent>
  <xr:revisionPtr revIDLastSave="0" documentId="8_{116EDA64-DF52-4179-8C1B-881167502DF3}" xr6:coauthVersionLast="47" xr6:coauthVersionMax="47" xr10:uidLastSave="{00000000-0000-0000-0000-000000000000}"/>
  <bookViews>
    <workbookView xWindow="19090" yWindow="-10740" windowWidth="38620" windowHeight="21100" xr2:uid="{211B3770-2A20-441A-88AE-89D13AE2BF68}"/>
  </bookViews>
  <sheets>
    <sheet name="RP vs Top-Selling Brand" sheetId="9" r:id="rId1"/>
  </sheets>
  <definedNames>
    <definedName name="__________M3">#REF!</definedName>
    <definedName name="_________M3">#REF!</definedName>
    <definedName name="________M3">#REF!</definedName>
    <definedName name="_______M3">#REF!</definedName>
    <definedName name="______M3">#REF!</definedName>
    <definedName name="_____inv07">#REF!</definedName>
    <definedName name="_____M3">#REF!</definedName>
    <definedName name="____inv07">#REF!</definedName>
    <definedName name="____M3">#REF!</definedName>
    <definedName name="___inv06">#REF!</definedName>
    <definedName name="___inv07">#REF!</definedName>
    <definedName name="___M3">#REF!</definedName>
    <definedName name="__FDS_HYPERLINK_TOGGLE_STATE__" hidden="1">"ON"</definedName>
    <definedName name="__inv06">#REF!</definedName>
    <definedName name="__inv07">#REF!</definedName>
    <definedName name="__M3">#REF!</definedName>
    <definedName name="_1WT_S">#REF!</definedName>
    <definedName name="_bdm.42C923D0B218422D9261218ACA77FEB6.edm" hidden="1">#REF!</definedName>
    <definedName name="_bdm.A8E7848DCA314DA7AE22A6C84A73CD12.edm" hidden="1">#REF!</definedName>
    <definedName name="_fcf10">#REF!</definedName>
    <definedName name="_fcf5">#REF!</definedName>
    <definedName name="_inv06">#REF!</definedName>
    <definedName name="_inv07">#REF!</definedName>
    <definedName name="_M3">#REF!</definedName>
    <definedName name="_Regression_Int" hidden="1">1</definedName>
    <definedName name="_Table2_Out" hidden="1">#REF!</definedName>
    <definedName name="a">#REF!</definedName>
    <definedName name="AA">#REF!</definedName>
    <definedName name="ab">#REF!</definedName>
    <definedName name="Accretion_GAAP_Dollar_Yr1">#REF!</definedName>
    <definedName name="Accretion_GAAP_Dollar_Yr2">#REF!</definedName>
    <definedName name="Accretion_GAAP_Dollar_Yr3">#REF!</definedName>
    <definedName name="Accretion_GAAP_Percent_Yr1">#REF!</definedName>
    <definedName name="Accretion_GAAP_Percent_Yr2">#REF!</definedName>
    <definedName name="Accretion_GAAP_Percent_Yr3">#REF!</definedName>
    <definedName name="Acquiror">#REF!</definedName>
    <definedName name="Acquiror_Book_Equity">#REF!</definedName>
    <definedName name="Acquiror_Number">#REF!</definedName>
    <definedName name="Acquiror_Shares">#REF!</definedName>
    <definedName name="Acquiror_Shares_Outstanding">#REF!</definedName>
    <definedName name="Acquiror_Stock_Price">#REF!</definedName>
    <definedName name="Activity">#REF!</definedName>
    <definedName name="adf">#REF!</definedName>
    <definedName name="Anu">#REF!</definedName>
    <definedName name="API">#REF!</definedName>
    <definedName name="ARA_Threshold">#REF!</definedName>
    <definedName name="ARP_Threshold">#REF!</definedName>
    <definedName name="AS2DocOpenMode" hidden="1">"AS2DocumentEdit"</definedName>
    <definedName name="asphalt">#REF!</definedName>
    <definedName name="b">#REF!</definedName>
    <definedName name="Banners" comment="$88.50 Ea.">#REF!</definedName>
    <definedName name="BARRELS">#REF!</definedName>
    <definedName name="Base_Year">#REF!</definedName>
    <definedName name="BaseYear">#REF!</definedName>
    <definedName name="BATCH">#REF!</definedName>
    <definedName name="BlendedStockPrice">#REF!</definedName>
    <definedName name="BR">#REF!</definedName>
    <definedName name="Break_Even_Synergies_GAAP_Yr1">#REF!</definedName>
    <definedName name="Break_Even_Synergies_GAAP_Yr2">#REF!</definedName>
    <definedName name="Break_Even_Synergies_GAAP_Yr3">#REF!</definedName>
    <definedName name="BS_commonequity">#REF!</definedName>
    <definedName name="BS_convertdebt">#REF!</definedName>
    <definedName name="BS_convertpref">#REF!</definedName>
    <definedName name="bs_date">#REF!</definedName>
    <definedName name="BS_deferredcomp">#REF!</definedName>
    <definedName name="BS_deferredtaxes">#REF!</definedName>
    <definedName name="BS_discontoper">#REF!</definedName>
    <definedName name="BS_goodwill">#REF!</definedName>
    <definedName name="BS_inventories">#REF!</definedName>
    <definedName name="BS_otherCA">#REF!</definedName>
    <definedName name="BS_otherCL">#REF!</definedName>
    <definedName name="BS_otherLTA">#REF!</definedName>
    <definedName name="BS_otherLTL">#REF!</definedName>
    <definedName name="BS_payables">#REF!</definedName>
    <definedName name="BS_receivables">#REF!</definedName>
    <definedName name="BS_straightdebt">#REF!</definedName>
    <definedName name="BS_straightpref">#REF!</definedName>
    <definedName name="BSW">#REF!</definedName>
    <definedName name="BudgetTable1">#REF!</definedName>
    <definedName name="Bulk" comment="Gallons">#REF!</definedName>
    <definedName name="c_date">#REF!</definedName>
    <definedName name="ca">#REF!</definedName>
    <definedName name="cal">#REF!</definedName>
    <definedName name="cash_fv">#REF!</definedName>
    <definedName name="cash_terminal">#REF!</definedName>
    <definedName name="cato">#REF!</definedName>
    <definedName name="CF_begcash">#REF!</definedName>
    <definedName name="CF_commondiv">#REF!</definedName>
    <definedName name="CF_convertdebt">#REF!</definedName>
    <definedName name="CF_deferredtaxes">#REF!</definedName>
    <definedName name="CF_deprec">#REF!</definedName>
    <definedName name="CF_gwamort">#REF!</definedName>
    <definedName name="CF_intangiblesamort">#REF!</definedName>
    <definedName name="CF_minority">#REF!</definedName>
    <definedName name="CF_netinc">#REF!</definedName>
    <definedName name="CF_NWC">#REF!</definedName>
    <definedName name="CF_othernonoper">#REF!</definedName>
    <definedName name="CF_otheroper">#REF!</definedName>
    <definedName name="CF_revolver">#REF!</definedName>
    <definedName name="CF_straightdebt">#REF!</definedName>
    <definedName name="ChangeInCommonEquity">#REF!</definedName>
    <definedName name="ChangeInConvertiblePreferredStock">#REF!</definedName>
    <definedName name="ChangeInDeferredCompensation">#REF!</definedName>
    <definedName name="ChangeInStraightPreferredStock">#REF!</definedName>
    <definedName name="CHI_Proj">#REF!</definedName>
    <definedName name="commondiv">#REF!</definedName>
    <definedName name="Company">#REF!</definedName>
    <definedName name="Company_Data">#REF!</definedName>
    <definedName name="Company_Data_FirstRow">#REF!</definedName>
    <definedName name="Company_Data_Sub">#REF!</definedName>
    <definedName name="Conv">#REF!</definedName>
    <definedName name="convdebtrate">#REF!</definedName>
    <definedName name="convdebtshares">#REF!</definedName>
    <definedName name="convprefrate">#REF!</definedName>
    <definedName name="convprefshares">#REF!</definedName>
    <definedName name="convpricedebt">#REF!</definedName>
    <definedName name="convpricepref">#REF!</definedName>
    <definedName name="CPSummary">#REF!</definedName>
    <definedName name="CRUDE">#REF!</definedName>
    <definedName name="Current_Date">#REF!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DATA">#REF!</definedName>
    <definedName name="Date">#REF!</definedName>
    <definedName name="DateHeader">#REF!</definedName>
    <definedName name="dcf">#REF!</definedName>
    <definedName name="dcf_year">#REF!</definedName>
    <definedName name="dcfyear">#REF!</definedName>
    <definedName name="debt_fv">#REF!</definedName>
    <definedName name="debt_terminal">#REF!</definedName>
    <definedName name="dec">#REF!</definedName>
    <definedName name="den">#REF!</definedName>
    <definedName name="DeprCalcMethod">#REF!</definedName>
    <definedName name="Descriptions">#REF!</definedName>
    <definedName name="DescSearch">OFFSET(#REF!,,,COUNTIF(#REF!,"?*")-1)</definedName>
    <definedName name="DFGCompleteList">#REF!</definedName>
    <definedName name="disc_years">#REF!</definedName>
    <definedName name="divestcash">#REF!</definedName>
    <definedName name="divestproceeds">#REF!</definedName>
    <definedName name="divestyear">#REF!</definedName>
    <definedName name="DollarHeader">#REF!</definedName>
    <definedName name="Drum_Labels" comment="$130 / 250">#REF!</definedName>
    <definedName name="Drums">#REF!</definedName>
    <definedName name="DS07DCLIst">#REF!</definedName>
    <definedName name="DS07DMList">#REF!</definedName>
    <definedName name="DSList">#REF!</definedName>
    <definedName name="EBITDA_mult">#REF!</definedName>
    <definedName name="EBITDA_mult1">#REF!</definedName>
    <definedName name="EBITDA_mult2">#REF!</definedName>
    <definedName name="EBITDA_mult3">#REF!</definedName>
    <definedName name="EBITDA_mult4">#REF!</definedName>
    <definedName name="EBITDA_mult5">#REF!</definedName>
    <definedName name="ED">#REF!</definedName>
    <definedName name="ev.Calculation" hidden="1">-4135</definedName>
    <definedName name="ev.Initialized" hidden="1">FALSE</definedName>
    <definedName name="ExcessCashrate">#REF!</definedName>
    <definedName name="Exchange_rate">#REF!</definedName>
    <definedName name="Exchange_rate2">#REF!</definedName>
    <definedName name="Exchange_Ratio">#REF!</definedName>
    <definedName name="fcf_lev_terminal1">#REF!</definedName>
    <definedName name="fcf_lev_terminal2">#REF!</definedName>
    <definedName name="fcf_lev_terminal3">#REF!</definedName>
    <definedName name="fcf_lev_terminal4">#REF!</definedName>
    <definedName name="fcf_lev_terminal5">#REF!</definedName>
    <definedName name="fcf_unlev">#REF!</definedName>
    <definedName name="fcf_unlev_terminal1">#REF!</definedName>
    <definedName name="fcf_unlev_terminal2">#REF!</definedName>
    <definedName name="fcf_unlev_terminal3">#REF!</definedName>
    <definedName name="fcf_unlev_terminal4">#REF!</definedName>
    <definedName name="fcf_unlev_terminal5">#REF!</definedName>
    <definedName name="fcf_unlev10">#REF!</definedName>
    <definedName name="fcf_unlev5">#REF!</definedName>
    <definedName name="FIL">#REF!</definedName>
    <definedName name="Financing_1_Rate">#REF!</definedName>
    <definedName name="fiscal_year">#REF!</definedName>
    <definedName name="fl06inv">#REF!</definedName>
    <definedName name="fl07inv">#REF!</definedName>
    <definedName name="fla">#REF!</definedName>
    <definedName name="Floormats" comment="$52 / 1,000">#REF!</definedName>
    <definedName name="Football_Maximum">#REF!</definedName>
    <definedName name="Football_Minimum">#REF!</definedName>
    <definedName name="Football_Units">#REF!</definedName>
    <definedName name="FOS">#REF!</definedName>
    <definedName name="From">#REF!</definedName>
    <definedName name="FYE1EBITDA">#REF!</definedName>
    <definedName name="FYE3Other1">#REF!</definedName>
    <definedName name="fzdg">#REF!</definedName>
    <definedName name="hn.Delete015" hidden="1">#REF!,#REF!,#REF!,#REF!,#REF!</definedName>
    <definedName name="hn.ModelVersion" hidden="1">1</definedName>
    <definedName name="hn.NoUpload" hidden="1">0</definedName>
    <definedName name="hs">#REF!</definedName>
    <definedName name="HTML_CodePage" hidden="1">1252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Identifier">#REF!</definedName>
    <definedName name="ihateroyalpurple">#REF!</definedName>
    <definedName name="il06inv">#REF!</definedName>
    <definedName name="il06prop">#REF!</definedName>
    <definedName name="il07inv">#REF!</definedName>
    <definedName name="il07prop">#REF!</definedName>
    <definedName name="ill">#REF!</definedName>
    <definedName name="illfrom">#REF!</definedName>
    <definedName name="ilrent">#REF!</definedName>
    <definedName name="ilto">#REF!</definedName>
    <definedName name="in06inv">#REF!</definedName>
    <definedName name="in06prop">#REF!</definedName>
    <definedName name="in07inv">#REF!</definedName>
    <definedName name="in07prop">#REF!</definedName>
    <definedName name="ind">#REF!</definedName>
    <definedName name="indfrom">#REF!</definedName>
    <definedName name="indpay">#REF!</definedName>
    <definedName name="inrent">#REF!</definedName>
    <definedName name="into">#REF!</definedName>
    <definedName name="inv">#REF!</definedName>
    <definedName name="invlist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"019802800"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39371.4082986111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_COGS">#REF!</definedName>
    <definedName name="IS_convprefdiv">#REF!</definedName>
    <definedName name="IS_deprec">#REF!</definedName>
    <definedName name="IS_eps">#REF!</definedName>
    <definedName name="IS_goodwill">#REF!</definedName>
    <definedName name="IS_inctaxes">#REF!</definedName>
    <definedName name="IS_intangamort">#REF!</definedName>
    <definedName name="IS_intconvert">#REF!</definedName>
    <definedName name="IS_intexisting">#REF!</definedName>
    <definedName name="IS_intincome">#REF!</definedName>
    <definedName name="IS_intrevolver">#REF!</definedName>
    <definedName name="IS_minority">#REF!</definedName>
    <definedName name="IS_othernonopexp">#REF!</definedName>
    <definedName name="IS_otheropexp">#REF!</definedName>
    <definedName name="IS_revenues">#REF!</definedName>
    <definedName name="IS_SGA">#REF!</definedName>
    <definedName name="IS_straightprefdiv">#REF!</definedName>
    <definedName name="ISSUE1">#REF!</definedName>
    <definedName name="ISSUE2">#REF!</definedName>
    <definedName name="ISSUEFIRST">#REF!</definedName>
    <definedName name="ISSUESECOND">#REF!</definedName>
    <definedName name="JDE_REPORT">#REF!</definedName>
    <definedName name="Kay">#REF!</definedName>
    <definedName name="Ke">#REF!</definedName>
    <definedName name="KWL">#REF!</definedName>
    <definedName name="l">#REF!</definedName>
    <definedName name="la06inv">#REF!</definedName>
    <definedName name="la06prop">#REF!</definedName>
    <definedName name="la07inv">#REF!</definedName>
    <definedName name="la07prop">#REF!</definedName>
    <definedName name="lapay">#REF!</definedName>
    <definedName name="larent">#REF!</definedName>
    <definedName name="lato">#REF!</definedName>
    <definedName name="Lav">#REF!</definedName>
    <definedName name="LB">#REF!</definedName>
    <definedName name="lev_fcf_rate">#REF!</definedName>
    <definedName name="LLK">#REF!</definedName>
    <definedName name="LOOKUP">#REF!</definedName>
    <definedName name="lookup2">#REF!</definedName>
    <definedName name="lou">#REF!</definedName>
    <definedName name="LSB">#REF!</definedName>
    <definedName name="lubename">#REF!</definedName>
    <definedName name="Marketing_Material" comment="$16.50 / 100">#REF!</definedName>
    <definedName name="MasterList">#REF!</definedName>
    <definedName name="Material">#REF!</definedName>
    <definedName name="Materials">#REF!</definedName>
    <definedName name="ME">#REF!</definedName>
    <definedName name="Menu_Board" comment="$205 Ea.">#REF!</definedName>
    <definedName name="Mgmt_Proj">#REF!</definedName>
    <definedName name="mincash">#REF!</definedName>
    <definedName name="miss">#REF!</definedName>
    <definedName name="mo">#REF!</definedName>
    <definedName name="month">#REF!</definedName>
    <definedName name="moto">#REF!</definedName>
    <definedName name="ms07inv">#REF!</definedName>
    <definedName name="msto">#REF!</definedName>
    <definedName name="mult_sen">#REF!</definedName>
    <definedName name="MyName">IF(TheName = "","",TheName)</definedName>
    <definedName name="MyTaxYear">IF(TaxYearEnd="","",TaxYearEnd)</definedName>
    <definedName name="name">#REF!</definedName>
    <definedName name="names">#REF!</definedName>
    <definedName name="NativeTimeline_Timeline1">#N/A</definedName>
    <definedName name="NewTaxGW">#REF!</definedName>
    <definedName name="NewTaxIntangibles">#REF!</definedName>
    <definedName name="ni_mult">#REF!</definedName>
    <definedName name="ni_mult_sen">#REF!</definedName>
    <definedName name="ni_mult1">#REF!</definedName>
    <definedName name="ni_mult2">#REF!</definedName>
    <definedName name="ni_mult3">#REF!</definedName>
    <definedName name="ni_mult4">#REF!</definedName>
    <definedName name="ni_mult5">#REF!</definedName>
    <definedName name="ni_terminal">#REF!</definedName>
    <definedName name="nj">#REF!</definedName>
    <definedName name="nj06inv">#REF!</definedName>
    <definedName name="nj07inv">#REF!</definedName>
    <definedName name="njrent">#REF!</definedName>
    <definedName name="njto">#REF!</definedName>
    <definedName name="NOW">#REF!</definedName>
    <definedName name="OK">#REF!</definedName>
    <definedName name="OR">#REF!</definedName>
    <definedName name="p_Depr">#REF!</definedName>
    <definedName name="parent">#REF!</definedName>
    <definedName name="pato">#REF!</definedName>
    <definedName name="penn">#REF!</definedName>
    <definedName name="pennpay">#REF!</definedName>
    <definedName name="Percent_Cash">#REF!</definedName>
    <definedName name="perp_lev">#REF!</definedName>
    <definedName name="perp_lev_sen">#REF!</definedName>
    <definedName name="perp_lev1">#REF!</definedName>
    <definedName name="perp_lev2">#REF!</definedName>
    <definedName name="perp_lev3">#REF!</definedName>
    <definedName name="perp_lev4">#REF!</definedName>
    <definedName name="perp_lev5">#REF!</definedName>
    <definedName name="perp_unlev">#REF!</definedName>
    <definedName name="perp_unlev_sen">#REF!</definedName>
    <definedName name="perp_unlev1">#REF!</definedName>
    <definedName name="perp_unlev2">#REF!</definedName>
    <definedName name="perp_unlev3">#REF!</definedName>
    <definedName name="perp_unlev4">#REF!</definedName>
    <definedName name="perp_unlev5">#REF!</definedName>
    <definedName name="PKG" comment="Gallons">#REF!</definedName>
    <definedName name="PO">#REF!</definedName>
    <definedName name="prefrate">#REF!</definedName>
    <definedName name="price">#REF!</definedName>
    <definedName name="_xlnm.Print_Area" localSheetId="0">'RP vs Top-Selling Brand'!$A$1:$C$24</definedName>
    <definedName name="_xlnm.Print_Area">#REF!</definedName>
    <definedName name="Print_Area_MI">#REF!</definedName>
    <definedName name="PRINT_TITLES_MI">#REF!</definedName>
    <definedName name="Printer_Ribbons" comment="$6 Ea.">#REF!</definedName>
    <definedName name="proj">#REF!</definedName>
    <definedName name="prop06">#REF!</definedName>
    <definedName name="prop07">#REF!</definedName>
    <definedName name="Public">#REF!</definedName>
    <definedName name="PURCHASE">#REF!</definedName>
    <definedName name="Purchase_Price">#REF!</definedName>
    <definedName name="PY_Common_Equity">#REF!</definedName>
    <definedName name="PY_Depreciation">#REF!</definedName>
    <definedName name="PY_Intangible_Assets">#REF!</definedName>
    <definedName name="PY_Interest_Expense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Refinancing">#REF!</definedName>
    <definedName name="rent">#REF!</definedName>
    <definedName name="report">#REF!</definedName>
    <definedName name="report2">#REF!</definedName>
    <definedName name="revenue">#REF!</definedName>
    <definedName name="S">#REF!</definedName>
    <definedName name="salestot">#REF!</definedName>
    <definedName name="SALT">#REF!</definedName>
    <definedName name="SBTick">#REF!</definedName>
    <definedName name="SC">#REF!</definedName>
    <definedName name="scto">#REF!</definedName>
    <definedName name="SD">#REF!</definedName>
    <definedName name="segment">#REF!</definedName>
    <definedName name="SERVICE">#REF!</definedName>
    <definedName name="Service_Stickers_Blank" comment="$49 / 1,000">#REF!</definedName>
    <definedName name="Service_Stickers_Personailzed" comment="$175.50 / 3,000">#REF!</definedName>
    <definedName name="Set1Values">#REF!</definedName>
    <definedName name="share_tog">#REF!</definedName>
    <definedName name="shares">#REF!</definedName>
    <definedName name="shos">#REF!</definedName>
    <definedName name="SKU">#REF!</definedName>
    <definedName name="skufil">#REF!</definedName>
    <definedName name="Slicer_Sales_Agent">#N/A</definedName>
    <definedName name="Slicer_Sales_Category">#N/A</definedName>
    <definedName name="Slicer_Sales_Region">#N/A</definedName>
    <definedName name="SO">#REF!</definedName>
    <definedName name="soca">#REF!</definedName>
    <definedName name="SUL">#REF!</definedName>
    <definedName name="SW">#REF!</definedName>
    <definedName name="SYN">#REF!</definedName>
    <definedName name="Synergy1">#REF!</definedName>
    <definedName name="Synergy2">#REF!</definedName>
    <definedName name="Synergy3">#REF!</definedName>
    <definedName name="t3eaegre">#REF!</definedName>
    <definedName name="Tank_Decals" comment="$162 / 250">#REF!</definedName>
    <definedName name="tar">#REF!</definedName>
    <definedName name="Target">#REF!</definedName>
    <definedName name="Target_Date">#REF!</definedName>
    <definedName name="Target_Number">#REF!</definedName>
    <definedName name="Target_Shares">#REF!</definedName>
    <definedName name="Target_Shares_Outstanding">#REF!</definedName>
    <definedName name="Target_Stock_Price">#REF!</definedName>
    <definedName name="Tax_Rate">#REF!</definedName>
    <definedName name="TaxYearEnd">#REF!</definedName>
    <definedName name="tblExcelExportShift1">#REF!</definedName>
    <definedName name="tblExcelExportShift2">#REF!</definedName>
    <definedName name="term_value">#REF!</definedName>
    <definedName name="term_year">#REF!</definedName>
    <definedName name="terminal_year">#REF!</definedName>
    <definedName name="test" hidden="1">#REF!</definedName>
    <definedName name="TheName">#REF!</definedName>
    <definedName name="Title1">#REF!</definedName>
    <definedName name="TLICompleteN754List">#REF!</definedName>
    <definedName name="To">#REF!</definedName>
    <definedName name="Total_Transaction_Costs">#REF!</definedName>
    <definedName name="TotalSharesOutstanding">#REF!</definedName>
    <definedName name="Transaction_Costs">#REF!</definedName>
    <definedName name="TrialBalance">#REF!</definedName>
    <definedName name="txrent">#REF!</definedName>
    <definedName name="UHC">#REF!</definedName>
    <definedName name="UNITS">#REF!</definedName>
    <definedName name="unlev_fcf_rate">#REF!</definedName>
    <definedName name="UOC">#REF!</definedName>
    <definedName name="utah">#REF!</definedName>
    <definedName name="utahfrom">#REF!</definedName>
    <definedName name="VAL">#REF!</definedName>
    <definedName name="value_date">#REF!</definedName>
    <definedName name="Values">#REF!</definedName>
    <definedName name="WACC">#REF!</definedName>
    <definedName name="WACC_sen">#REF!</definedName>
    <definedName name="Worksheet_Name">#REF!</definedName>
    <definedName name="WriteUp_Amount">#REF!</definedName>
    <definedName name="WriteUp_inventories">#REF!</definedName>
    <definedName name="WriteUp_otherCA">#REF!</definedName>
    <definedName name="WriteUp_otherCL">#REF!</definedName>
    <definedName name="WriteUp_otherLTA">#REF!</definedName>
    <definedName name="WriteUp_otherLTL">#REF!</definedName>
    <definedName name="WriteUp_payables">#REF!</definedName>
    <definedName name="WriteUp_Period">#REF!</definedName>
    <definedName name="WriteUP_PPE">#REF!</definedName>
    <definedName name="WriteUp_receivables">#REF!</definedName>
    <definedName name="writeupdeprec">#REF!</definedName>
    <definedName name="wrn.LBO._.Summary." hidden="1">{"LBO Summary",#N/A,FALSE,"Summary"}</definedName>
    <definedName name="wrn.Print." hidden="1">{#N/A,#N/A,FALSE,"Cover";#N/A,#N/A,FALSE,"Summary";#N/A,#N/A,FALSE,"Marrietta - Status Quo";#N/A,#N/A,FALSE,"Inc-Marrietta - THG $15";#N/A,#N/A,FALSE,"Inc - Marrietta - THG $12";#N/A,#N/A,FALSE,"Inc - Marrietta - 15 &amp; 55";#N/A,#N/A,FALSE,"DesMoines - Status Quo";#N/A,#N/A,FALSE,"DesMoines - BMS";#N/A,#N/A,FALSE,"Algona - Status Quo";#N/A,#N/A,FALSE,"Algona - Koch";#N/A,#N/A,FALSE,"Tama - Status Quo"}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tdavgshares">#REF!</definedName>
    <definedName name="xgfhs">#REF!</definedName>
    <definedName name="XRATE">#REF!</definedName>
    <definedName name="XRATE2">#REF!</definedName>
    <definedName name="XRATE3">#REF!</definedName>
    <definedName name="XRATE4">#REF!</definedName>
    <definedName name="XRATE5">#REF!</definedName>
    <definedName name="XRATE6">#REF!</definedName>
    <definedName name="XRATE7">#REF!</definedName>
    <definedName name="YearEn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9" l="1"/>
  <c r="G29" i="9"/>
  <c r="G28" i="9"/>
  <c r="G27" i="9"/>
  <c r="C16" i="9" s="1"/>
  <c r="G26" i="9"/>
  <c r="C22" i="9"/>
  <c r="G20" i="9"/>
  <c r="G19" i="9"/>
  <c r="G18" i="9"/>
  <c r="G17" i="9"/>
  <c r="C9" i="9" s="1"/>
  <c r="G16" i="9"/>
  <c r="C15" i="9"/>
  <c r="C14" i="9"/>
  <c r="B12" i="9"/>
  <c r="C8" i="9"/>
  <c r="C7" i="9"/>
  <c r="C4" i="9"/>
  <c r="C3" i="9"/>
  <c r="B2" i="9"/>
  <c r="A1" i="9"/>
  <c r="C17" i="9" l="1"/>
  <c r="C10" i="9"/>
  <c r="C12" i="9" s="1"/>
  <c r="C5" i="9"/>
  <c r="C19" i="9" l="1"/>
  <c r="C21" i="9" s="1"/>
  <c r="C23" i="9" s="1"/>
</calcChain>
</file>

<file path=xl/sharedStrings.xml><?xml version="1.0" encoding="utf-8"?>
<sst xmlns="http://schemas.openxmlformats.org/spreadsheetml/2006/main" count="95" uniqueCount="72">
  <si>
    <t>Package Size</t>
  </si>
  <si>
    <t>Bulk</t>
  </si>
  <si>
    <t>Gallons Per Oil Change</t>
  </si>
  <si>
    <t>Average Oil Changes Per Day (OCPD)</t>
  </si>
  <si>
    <t>Total Number of Working Days</t>
  </si>
  <si>
    <t>Total Oil Changes Annually</t>
  </si>
  <si>
    <t>Current Top Level Oil Change Brand</t>
  </si>
  <si>
    <t>Oil Change Selling  Price</t>
  </si>
  <si>
    <t>Estimated Fluid Cost Per Oil Change</t>
  </si>
  <si>
    <t>Gross Profit Generated</t>
  </si>
  <si>
    <t>Royal Purple Oil Change Upgrade</t>
  </si>
  <si>
    <t>Oil Change Selling Price</t>
  </si>
  <si>
    <t>Total Number of Locations</t>
  </si>
  <si>
    <t>Total Annual Profitability</t>
  </si>
  <si>
    <t>Royal Purple Distributor Pricing</t>
  </si>
  <si>
    <t>Installers Current Top Level Brand</t>
  </si>
  <si>
    <t>5qt.</t>
  </si>
  <si>
    <t>1qt.</t>
  </si>
  <si>
    <t>1gal</t>
  </si>
  <si>
    <t>BnB</t>
  </si>
  <si>
    <t>Case Price</t>
  </si>
  <si>
    <t>Gallon Conversion</t>
  </si>
  <si>
    <t>N/A</t>
  </si>
  <si>
    <t>Customer / Installer Name</t>
  </si>
  <si>
    <t>Average Oil Changes Per Day</t>
  </si>
  <si>
    <t>Suggested Royal Purple Selling Price</t>
  </si>
  <si>
    <t>Number of locations</t>
  </si>
  <si>
    <t>Pricing Comparison</t>
  </si>
  <si>
    <t>Installer Information</t>
  </si>
  <si>
    <t>Percent of Oil Changes Converting to Royal Purple</t>
  </si>
  <si>
    <t>Royal Purple HP 5W30</t>
  </si>
  <si>
    <t>Gross Profit Generated per Oil Change</t>
  </si>
  <si>
    <t>Number of Days Open</t>
  </si>
  <si>
    <t>Dr</t>
  </si>
  <si>
    <t>Package Size Cost - Distributor</t>
  </si>
  <si>
    <t>Package Size Cost - Distributor / HDMO 1 Gallon</t>
  </si>
  <si>
    <t>Package Size Cost - Distributor / HDMO - 1 Gallon</t>
  </si>
  <si>
    <t>Royal Purple Installer Profit Worksheet</t>
  </si>
  <si>
    <t>Product</t>
  </si>
  <si>
    <t>Distributor</t>
  </si>
  <si>
    <t>Complete this section only EXCEPT for selecting Package Size in Presentation Worksheet</t>
  </si>
  <si>
    <t>Single Location Annual Profit Generated @</t>
  </si>
  <si>
    <t>Incremental Annual Profitability Generated per Location</t>
  </si>
  <si>
    <t>Incremental Profit Increase per Service</t>
  </si>
  <si>
    <t>Follow these steps to lock cells in a worksheet:</t>
  </si>
  <si>
    <t>1. Select the cells you want to lock.</t>
  </si>
  <si>
    <t>2. On the Home tab, in the Alignment group, click the small arrow to open the Format Cells popup window.</t>
  </si>
  <si>
    <t>3. On the Protection tab, select the Locked check box, and then click OK to close the popup.</t>
  </si>
  <si>
    <t>Choose what cell elements to lock</t>
  </si>
  <si>
    <t>Here's what you can lock in an unprotected sheet:</t>
  </si>
  <si>
    <t>Formulas: If you don’t want other users to see your formulas, you can hide them from being seen in cells or the Formula bar. For more information, see Display or hide formulas.</t>
  </si>
  <si>
    <t>Ranges: You can enable users to work in specific ranges within a protected sheet. For more information, see Lock or unlock specific areas of a protected worksheet.</t>
  </si>
  <si>
    <t>Enable worksheet protection</t>
  </si>
  <si>
    <t>Step 1: Unlock any cells that needs to be editable</t>
  </si>
  <si>
    <t>1. In your Excel file, select the worksheet tab that you want to protect.</t>
  </si>
  <si>
    <t>2. Select the cells that others can edit.</t>
  </si>
  <si>
    <r>
      <t>Tip: </t>
    </r>
    <r>
      <rPr>
        <sz val="11"/>
        <color rgb="FF1E1E1E"/>
        <rFont val="Calibri"/>
        <family val="2"/>
        <scheme val="minor"/>
      </rPr>
      <t>You can select multiple, non-contiguous cells by pressing Ctrl+Left-Click.</t>
    </r>
  </si>
  <si>
    <r>
      <t>3. Right-click anywhere in the sheet and select </t>
    </r>
    <r>
      <rPr>
        <b/>
        <sz val="11"/>
        <color rgb="FF1E1E1E"/>
        <rFont val="Calibri"/>
        <family val="2"/>
        <scheme val="minor"/>
      </rPr>
      <t>Format Cells</t>
    </r>
    <r>
      <rPr>
        <sz val="11"/>
        <color rgb="FF1E1E1E"/>
        <rFont val="Calibri"/>
        <family val="2"/>
        <scheme val="minor"/>
      </rPr>
      <t> (or use </t>
    </r>
    <r>
      <rPr>
        <b/>
        <sz val="11"/>
        <color rgb="FF1E1E1E"/>
        <rFont val="Calibri"/>
        <family val="2"/>
        <scheme val="minor"/>
      </rPr>
      <t>Ctrl+1</t>
    </r>
    <r>
      <rPr>
        <sz val="11"/>
        <color rgb="FF1E1E1E"/>
        <rFont val="Calibri"/>
        <family val="2"/>
        <scheme val="minor"/>
      </rPr>
      <t>, or </t>
    </r>
    <r>
      <rPr>
        <b/>
        <sz val="11"/>
        <color rgb="FF1E1E1E"/>
        <rFont val="Calibri"/>
        <family val="2"/>
        <scheme val="minor"/>
      </rPr>
      <t>Command+1</t>
    </r>
    <r>
      <rPr>
        <sz val="11"/>
        <color rgb="FF1E1E1E"/>
        <rFont val="Calibri"/>
        <family val="2"/>
        <scheme val="minor"/>
      </rPr>
      <t> on the Mac), and then go to the </t>
    </r>
    <r>
      <rPr>
        <b/>
        <sz val="11"/>
        <color rgb="FF1E1E1E"/>
        <rFont val="Calibri"/>
        <family val="2"/>
        <scheme val="minor"/>
      </rPr>
      <t>Protection</t>
    </r>
    <r>
      <rPr>
        <sz val="11"/>
        <color rgb="FF1E1E1E"/>
        <rFont val="Calibri"/>
        <family val="2"/>
        <scheme val="minor"/>
      </rPr>
      <t> tab and clear </t>
    </r>
    <r>
      <rPr>
        <b/>
        <sz val="11"/>
        <color rgb="FF1E1E1E"/>
        <rFont val="Calibri"/>
        <family val="2"/>
        <scheme val="minor"/>
      </rPr>
      <t>Locked</t>
    </r>
    <r>
      <rPr>
        <sz val="11"/>
        <color rgb="FF1E1E1E"/>
        <rFont val="Calibri"/>
        <family val="2"/>
        <scheme val="minor"/>
      </rPr>
      <t>.</t>
    </r>
  </si>
  <si>
    <r>
      <t xml:space="preserve">Worksheet protection is a </t>
    </r>
    <r>
      <rPr>
        <b/>
        <u/>
        <sz val="11"/>
        <color rgb="FFFF0000"/>
        <rFont val="Calibri"/>
        <family val="2"/>
        <scheme val="minor"/>
      </rPr>
      <t>two-step process</t>
    </r>
    <r>
      <rPr>
        <sz val="11"/>
        <color theme="1"/>
        <rFont val="Calibri"/>
        <family val="2"/>
        <scheme val="minor"/>
      </rPr>
      <t>: the first step is to unlock cells that others can edit, and then you can protect the worksheet with or without a password.</t>
    </r>
  </si>
  <si>
    <t>Step 1</t>
  </si>
  <si>
    <t>Next, select the actions that users should be allowed to take on the sheet, such as insert or delete columns or rows, edit objects, sort, or use AutoFilter, to name a few. Additionally, you can also specify a password to lock your worksheet. A password prevents other people from removing the worksheet protection—it needs to be entered to unprotect the sheet.</t>
  </si>
  <si>
    <r>
      <t>On the </t>
    </r>
    <r>
      <rPr>
        <b/>
        <sz val="8"/>
        <color rgb="FF1E1E1E"/>
        <rFont val="Segoe UI"/>
        <family val="2"/>
      </rPr>
      <t>Review</t>
    </r>
    <r>
      <rPr>
        <sz val="8"/>
        <color rgb="FF1E1E1E"/>
        <rFont val="Segoe UI"/>
        <family val="2"/>
      </rPr>
      <t> tab, click </t>
    </r>
    <r>
      <rPr>
        <b/>
        <sz val="8"/>
        <color rgb="FF1E1E1E"/>
        <rFont val="Segoe UI"/>
        <family val="2"/>
      </rPr>
      <t>Protect Sheet</t>
    </r>
    <r>
      <rPr>
        <sz val="8"/>
        <color rgb="FF1E1E1E"/>
        <rFont val="Segoe UI"/>
        <family val="2"/>
      </rPr>
      <t>.</t>
    </r>
  </si>
  <si>
    <r>
      <t>In the </t>
    </r>
    <r>
      <rPr>
        <b/>
        <sz val="8"/>
        <color rgb="FF1E1E1E"/>
        <rFont val="Segoe UI"/>
        <family val="2"/>
      </rPr>
      <t>Allow all users of this worksheet to</t>
    </r>
    <r>
      <rPr>
        <sz val="8"/>
        <color rgb="FF1E1E1E"/>
        <rFont val="Segoe UI"/>
        <family val="2"/>
      </rPr>
      <t> list, select the elements you want people to be able to change.</t>
    </r>
  </si>
  <si>
    <t>Select unlocked cells</t>
  </si>
  <si>
    <r>
      <t>Move the pointer to cells for which the </t>
    </r>
    <r>
      <rPr>
        <b/>
        <sz val="11"/>
        <color rgb="FF1E1E1E"/>
        <rFont val="Calibri"/>
        <family val="2"/>
        <scheme val="minor"/>
      </rPr>
      <t>Locked</t>
    </r>
    <r>
      <rPr>
        <sz val="11"/>
        <color rgb="FF1E1E1E"/>
        <rFont val="Calibri"/>
        <family val="2"/>
        <scheme val="minor"/>
      </rPr>
      <t> box is unchecked on the </t>
    </r>
    <r>
      <rPr>
        <b/>
        <sz val="11"/>
        <color rgb="FF1E1E1E"/>
        <rFont val="Calibri"/>
        <family val="2"/>
        <scheme val="minor"/>
      </rPr>
      <t>Protection</t>
    </r>
    <r>
      <rPr>
        <sz val="11"/>
        <color rgb="FF1E1E1E"/>
        <rFont val="Calibri"/>
        <family val="2"/>
        <scheme val="minor"/>
      </rPr>
      <t> tab of the </t>
    </r>
    <r>
      <rPr>
        <b/>
        <sz val="11"/>
        <color rgb="FF1E1E1E"/>
        <rFont val="Calibri"/>
        <family val="2"/>
        <scheme val="minor"/>
      </rPr>
      <t>Format Cells</t>
    </r>
    <r>
      <rPr>
        <sz val="11"/>
        <color rgb="FF1E1E1E"/>
        <rFont val="Calibri"/>
        <family val="2"/>
        <scheme val="minor"/>
      </rPr>
      <t> dialog box. By default, users can select unlocked cells, and they can press the TAB key to move between the unlocked cells on a protected worksheet.</t>
    </r>
  </si>
  <si>
    <t>Step 3: Protect the worksheet</t>
  </si>
  <si>
    <r>
      <t>Optionally, enter a password in the </t>
    </r>
    <r>
      <rPr>
        <b/>
        <sz val="11"/>
        <color rgb="FF1E1E1E"/>
        <rFont val="Calibri"/>
        <family val="2"/>
        <scheme val="minor"/>
      </rPr>
      <t>Password to unprotect sheet</t>
    </r>
    <r>
      <rPr>
        <sz val="11"/>
        <color rgb="FF1E1E1E"/>
        <rFont val="Calibri"/>
        <family val="2"/>
        <scheme val="minor"/>
      </rPr>
      <t> box and click </t>
    </r>
    <r>
      <rPr>
        <b/>
        <sz val="11"/>
        <color rgb="FF1E1E1E"/>
        <rFont val="Calibri"/>
        <family val="2"/>
        <scheme val="minor"/>
      </rPr>
      <t>OK</t>
    </r>
    <r>
      <rPr>
        <sz val="11"/>
        <color rgb="FF1E1E1E"/>
        <rFont val="Calibri"/>
        <family val="2"/>
        <scheme val="minor"/>
      </rPr>
      <t>. Reenter the password in the </t>
    </r>
    <r>
      <rPr>
        <b/>
        <sz val="11"/>
        <color rgb="FF1E1E1E"/>
        <rFont val="Calibri"/>
        <family val="2"/>
        <scheme val="minor"/>
      </rPr>
      <t>Confirm Password </t>
    </r>
    <r>
      <rPr>
        <sz val="11"/>
        <color rgb="FF1E1E1E"/>
        <rFont val="Calibri"/>
        <family val="2"/>
        <scheme val="minor"/>
      </rPr>
      <t>dialog box and click </t>
    </r>
    <r>
      <rPr>
        <b/>
        <sz val="11"/>
        <color rgb="FF1E1E1E"/>
        <rFont val="Calibri"/>
        <family val="2"/>
        <scheme val="minor"/>
      </rPr>
      <t>OK</t>
    </r>
    <r>
      <rPr>
        <sz val="11"/>
        <color rgb="FF1E1E1E"/>
        <rFont val="Calibri"/>
        <family val="2"/>
        <scheme val="minor"/>
      </rPr>
      <t>.</t>
    </r>
  </si>
  <si>
    <t>If first time locking sheet - select the needed cells.</t>
  </si>
  <si>
    <t xml:space="preserve">Step 2 </t>
  </si>
  <si>
    <t>West Direct - El Paso, TX</t>
  </si>
  <si>
    <t>Mobil 1</t>
  </si>
  <si>
    <t>Lube X-Press, El Paso,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</si>
</sst>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202124"/>
      <name val="Arial"/>
      <family val="2"/>
    </font>
    <font>
      <b/>
      <sz val="10"/>
      <color rgb="FF202124"/>
      <name val="Arial"/>
      <family val="2"/>
    </font>
    <font>
      <sz val="8"/>
      <color rgb="FF1E1E1E"/>
      <name val="Segoe UI"/>
      <family val="2"/>
    </font>
    <font>
      <b/>
      <sz val="8"/>
      <color rgb="FF1E1E1E"/>
      <name val="Segoe UI"/>
      <family val="2"/>
    </font>
    <font>
      <b/>
      <sz val="11"/>
      <color rgb="FF1E1E1E"/>
      <name val="Calibri"/>
      <family val="2"/>
      <scheme val="minor"/>
    </font>
    <font>
      <sz val="11"/>
      <color rgb="FF1E1E1E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u/>
      <sz val="10"/>
      <color rgb="FF0070C0"/>
      <name val="Arial"/>
      <family val="2"/>
    </font>
    <font>
      <sz val="10"/>
      <color rgb="FF0070C0"/>
      <name val="Arial"/>
      <family val="2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6" xfId="0" applyBorder="1"/>
    <xf numFmtId="0" fontId="0" fillId="4" borderId="4" xfId="0" applyFill="1" applyBorder="1"/>
    <xf numFmtId="0" fontId="2" fillId="0" borderId="5" xfId="0" applyFont="1" applyBorder="1"/>
    <xf numFmtId="8" fontId="0" fillId="0" borderId="6" xfId="0" applyNumberFormat="1" applyBorder="1"/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3" fillId="0" borderId="15" xfId="0" applyFont="1" applyBorder="1"/>
    <xf numFmtId="0" fontId="4" fillId="0" borderId="0" xfId="0" applyFont="1"/>
    <xf numFmtId="0" fontId="0" fillId="0" borderId="16" xfId="0" applyBorder="1"/>
    <xf numFmtId="0" fontId="0" fillId="0" borderId="15" xfId="0" applyBorder="1"/>
    <xf numFmtId="164" fontId="0" fillId="0" borderId="0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8" fontId="2" fillId="0" borderId="0" xfId="2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/>
    <xf numFmtId="0" fontId="2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16" xfId="0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/>
    <xf numFmtId="0" fontId="2" fillId="0" borderId="1" xfId="0" applyFont="1" applyBorder="1" applyAlignment="1">
      <alignment horizontal="right"/>
    </xf>
    <xf numFmtId="0" fontId="7" fillId="4" borderId="2" xfId="0" applyFont="1" applyFill="1" applyBorder="1" applyAlignment="1">
      <alignment vertical="center"/>
    </xf>
    <xf numFmtId="0" fontId="5" fillId="5" borderId="5" xfId="0" applyFont="1" applyFill="1" applyBorder="1"/>
    <xf numFmtId="0" fontId="5" fillId="5" borderId="6" xfId="0" applyFont="1" applyFill="1" applyBorder="1" applyAlignment="1">
      <alignment horizontal="center"/>
    </xf>
    <xf numFmtId="0" fontId="6" fillId="0" borderId="5" xfId="0" applyFont="1" applyBorder="1"/>
    <xf numFmtId="0" fontId="8" fillId="0" borderId="6" xfId="0" applyFont="1" applyBorder="1"/>
    <xf numFmtId="0" fontId="8" fillId="0" borderId="5" xfId="0" applyFont="1" applyBorder="1"/>
    <xf numFmtId="0" fontId="8" fillId="0" borderId="10" xfId="0" applyFont="1" applyBorder="1"/>
    <xf numFmtId="164" fontId="8" fillId="0" borderId="11" xfId="0" applyNumberFormat="1" applyFont="1" applyBorder="1"/>
    <xf numFmtId="164" fontId="8" fillId="0" borderId="6" xfId="0" applyNumberFormat="1" applyFont="1" applyBorder="1" applyAlignment="1">
      <alignment horizontal="right"/>
    </xf>
    <xf numFmtId="8" fontId="8" fillId="0" borderId="11" xfId="0" applyNumberFormat="1" applyFont="1" applyBorder="1"/>
    <xf numFmtId="8" fontId="8" fillId="0" borderId="6" xfId="0" applyNumberFormat="1" applyFont="1" applyBorder="1"/>
    <xf numFmtId="0" fontId="5" fillId="5" borderId="7" xfId="0" applyFont="1" applyFill="1" applyBorder="1"/>
    <xf numFmtId="7" fontId="5" fillId="5" borderId="9" xfId="0" applyNumberFormat="1" applyFont="1" applyFill="1" applyBorder="1" applyAlignment="1">
      <alignment horizontal="right"/>
    </xf>
    <xf numFmtId="0" fontId="6" fillId="3" borderId="2" xfId="0" applyFont="1" applyFill="1" applyBorder="1"/>
    <xf numFmtId="43" fontId="6" fillId="3" borderId="4" xfId="0" applyNumberFormat="1" applyFont="1" applyFill="1" applyBorder="1" applyAlignment="1">
      <alignment horizontal="center"/>
    </xf>
    <xf numFmtId="8" fontId="6" fillId="0" borderId="6" xfId="2" applyNumberFormat="1" applyFont="1" applyFill="1" applyBorder="1" applyAlignment="1">
      <alignment horizontal="right"/>
    </xf>
    <xf numFmtId="7" fontId="5" fillId="5" borderId="6" xfId="0" applyNumberFormat="1" applyFont="1" applyFill="1" applyBorder="1" applyAlignment="1">
      <alignment horizontal="right"/>
    </xf>
    <xf numFmtId="164" fontId="8" fillId="0" borderId="6" xfId="0" applyNumberFormat="1" applyFont="1" applyBorder="1"/>
    <xf numFmtId="0" fontId="0" fillId="4" borderId="3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9" fontId="5" fillId="5" borderId="8" xfId="3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0" borderId="7" xfId="0" applyFont="1" applyBorder="1"/>
    <xf numFmtId="9" fontId="5" fillId="0" borderId="8" xfId="3" applyFont="1" applyFill="1" applyBorder="1" applyAlignment="1">
      <alignment horizontal="center"/>
    </xf>
    <xf numFmtId="7" fontId="5" fillId="0" borderId="9" xfId="0" applyNumberFormat="1" applyFont="1" applyBorder="1" applyAlignment="1">
      <alignment horizontal="right"/>
    </xf>
    <xf numFmtId="0" fontId="5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0" fillId="0" borderId="9" xfId="0" applyBorder="1"/>
    <xf numFmtId="0" fontId="11" fillId="0" borderId="0" xfId="0" applyFont="1"/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wrapText="1"/>
    </xf>
    <xf numFmtId="8" fontId="0" fillId="6" borderId="0" xfId="2" applyNumberFormat="1" applyFont="1" applyFill="1" applyBorder="1" applyAlignment="1" applyProtection="1">
      <alignment horizontal="right"/>
    </xf>
    <xf numFmtId="8" fontId="0" fillId="0" borderId="0" xfId="2" applyNumberFormat="1" applyFont="1" applyFill="1" applyBorder="1" applyAlignment="1" applyProtection="1">
      <alignment horizontal="right"/>
    </xf>
    <xf numFmtId="8" fontId="0" fillId="0" borderId="0" xfId="0" applyNumberFormat="1"/>
    <xf numFmtId="8" fontId="0" fillId="0" borderId="1" xfId="0" applyNumberFormat="1" applyBorder="1"/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 indent="2"/>
    </xf>
    <xf numFmtId="0" fontId="13" fillId="7" borderId="19" xfId="0" applyFont="1" applyFill="1" applyBorder="1" applyAlignment="1">
      <alignment vertical="center"/>
    </xf>
    <xf numFmtId="0" fontId="16" fillId="4" borderId="0" xfId="0" applyFont="1" applyFill="1"/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2"/>
    </xf>
    <xf numFmtId="0" fontId="0" fillId="0" borderId="0" xfId="0" applyProtection="1">
      <protection locked="0"/>
    </xf>
    <xf numFmtId="0" fontId="16" fillId="0" borderId="0" xfId="0" applyFont="1"/>
    <xf numFmtId="0" fontId="0" fillId="2" borderId="0" xfId="0" applyFill="1" applyProtection="1">
      <protection locked="0"/>
    </xf>
    <xf numFmtId="9" fontId="0" fillId="2" borderId="0" xfId="3" applyFont="1" applyFill="1" applyBorder="1" applyProtection="1">
      <protection locked="0"/>
    </xf>
    <xf numFmtId="43" fontId="0" fillId="2" borderId="0" xfId="1" applyFont="1" applyFill="1" applyBorder="1" applyAlignment="1" applyProtection="1">
      <alignment horizontal="right"/>
      <protection locked="0"/>
    </xf>
    <xf numFmtId="164" fontId="0" fillId="2" borderId="0" xfId="1" applyNumberFormat="1" applyFont="1" applyFill="1" applyBorder="1" applyAlignment="1" applyProtection="1">
      <alignment horizontal="right"/>
      <protection locked="0"/>
    </xf>
    <xf numFmtId="8" fontId="0" fillId="2" borderId="0" xfId="2" applyNumberFormat="1" applyFont="1" applyFill="1" applyBorder="1" applyAlignment="1" applyProtection="1">
      <alignment horizontal="right"/>
      <protection locked="0"/>
    </xf>
    <xf numFmtId="8" fontId="0" fillId="2" borderId="16" xfId="2" applyNumberFormat="1" applyFont="1" applyFill="1" applyBorder="1" applyAlignment="1" applyProtection="1">
      <alignment horizontal="left"/>
      <protection locked="0"/>
    </xf>
    <xf numFmtId="8" fontId="0" fillId="2" borderId="18" xfId="2" applyNumberFormat="1" applyFont="1" applyFill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43" fontId="2" fillId="2" borderId="0" xfId="1" applyFont="1" applyFill="1" applyBorder="1" applyAlignment="1" applyProtection="1">
      <alignment horizontal="right"/>
      <protection locked="0"/>
    </xf>
    <xf numFmtId="0" fontId="8" fillId="3" borderId="0" xfId="0" applyFont="1" applyFill="1" applyAlignment="1" applyProtection="1">
      <alignment horizontal="center"/>
      <protection locked="0"/>
    </xf>
    <xf numFmtId="0" fontId="0" fillId="2" borderId="16" xfId="0" applyFill="1" applyBorder="1" applyProtection="1">
      <protection locked="0"/>
    </xf>
    <xf numFmtId="0" fontId="14" fillId="4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99"/>
      <color rgb="FF9933FF"/>
      <color rgb="FF6600CC"/>
      <color rgb="FFFF99FF"/>
      <color rgb="FFFF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17319</xdr:colOff>
      <xdr:row>0</xdr:row>
      <xdr:rowOff>54259</xdr:rowOff>
    </xdr:from>
    <xdr:to>
      <xdr:col>2</xdr:col>
      <xdr:colOff>1162754</xdr:colOff>
      <xdr:row>0</xdr:row>
      <xdr:rowOff>663805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589668-4F7E-4408-A604-CBE8DE683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1094" y="54259"/>
          <a:ext cx="1535960" cy="609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6D53-FC14-458A-90D3-2B43CF333BD2}">
  <sheetPr>
    <tabColor theme="9"/>
  </sheetPr>
  <dimension ref="A1:K69"/>
  <sheetViews>
    <sheetView tabSelected="1" zoomScale="145" zoomScaleNormal="145" workbookViewId="0">
      <selection activeCell="H16" sqref="H16"/>
    </sheetView>
  </sheetViews>
  <sheetFormatPr defaultRowHeight="15" x14ac:dyDescent="0.25"/>
  <cols>
    <col min="1" max="1" width="53" customWidth="1"/>
    <col min="2" max="2" width="5.85546875" customWidth="1"/>
    <col min="3" max="3" width="30" customWidth="1"/>
    <col min="4" max="4" width="3" customWidth="1"/>
    <col min="5" max="5" width="47.140625" customWidth="1"/>
    <col min="6" max="6" width="11" customWidth="1"/>
    <col min="7" max="7" width="25.7109375" customWidth="1"/>
    <col min="8" max="8" width="28.42578125" customWidth="1"/>
    <col min="13" max="13" width="11.5703125" bestFit="1" customWidth="1"/>
  </cols>
  <sheetData>
    <row r="1" spans="1:8" ht="57" customHeight="1" x14ac:dyDescent="0.25">
      <c r="A1" s="24" t="str">
        <f>G3</f>
        <v>Lube X-Press, El Paso, TX</v>
      </c>
      <c r="B1" s="42"/>
      <c r="C1" s="2"/>
      <c r="E1" s="5" t="s">
        <v>40</v>
      </c>
      <c r="F1" s="6"/>
      <c r="G1" s="6"/>
      <c r="H1" s="7"/>
    </row>
    <row r="2" spans="1:8" ht="23.25" customHeight="1" x14ac:dyDescent="0.3">
      <c r="A2" s="25" t="s">
        <v>37</v>
      </c>
      <c r="B2" s="89" t="str">
        <f>H12</f>
        <v>West Direct - El Paso, TX</v>
      </c>
      <c r="C2" s="90"/>
      <c r="E2" s="8" t="s">
        <v>28</v>
      </c>
      <c r="F2" s="9"/>
      <c r="H2" s="10"/>
    </row>
    <row r="3" spans="1:8" ht="18.75" x14ac:dyDescent="0.3">
      <c r="A3" s="30" t="s">
        <v>3</v>
      </c>
      <c r="B3" s="43"/>
      <c r="C3" s="31">
        <f>G4</f>
        <v>30</v>
      </c>
      <c r="E3" s="11" t="s">
        <v>23</v>
      </c>
      <c r="G3" s="76" t="s">
        <v>71</v>
      </c>
      <c r="H3" s="10"/>
    </row>
    <row r="4" spans="1:8" ht="18.75" x14ac:dyDescent="0.3">
      <c r="A4" s="29" t="s">
        <v>4</v>
      </c>
      <c r="B4" s="51"/>
      <c r="C4" s="32">
        <f>G7</f>
        <v>310</v>
      </c>
      <c r="E4" s="11" t="s">
        <v>24</v>
      </c>
      <c r="G4" s="76">
        <v>30</v>
      </c>
      <c r="H4" s="10"/>
    </row>
    <row r="5" spans="1:8" ht="18.75" x14ac:dyDescent="0.3">
      <c r="A5" s="29" t="s">
        <v>5</v>
      </c>
      <c r="B5" s="51"/>
      <c r="C5" s="32">
        <f>C4*C3</f>
        <v>9300</v>
      </c>
      <c r="E5" s="11" t="s">
        <v>29</v>
      </c>
      <c r="G5" s="77">
        <v>0.1</v>
      </c>
      <c r="H5" s="10"/>
    </row>
    <row r="6" spans="1:8" ht="18.75" x14ac:dyDescent="0.3">
      <c r="A6" s="29"/>
      <c r="B6" s="51"/>
      <c r="C6" s="32"/>
      <c r="E6" s="11" t="s">
        <v>2</v>
      </c>
      <c r="G6" s="78">
        <v>1.25</v>
      </c>
      <c r="H6" s="10"/>
    </row>
    <row r="7" spans="1:8" ht="18.75" x14ac:dyDescent="0.3">
      <c r="A7" s="25" t="s">
        <v>10</v>
      </c>
      <c r="B7" s="50"/>
      <c r="C7" s="26" t="str">
        <f>G12</f>
        <v>Royal Purple HP 5W30</v>
      </c>
      <c r="E7" s="11" t="s">
        <v>32</v>
      </c>
      <c r="G7" s="79">
        <v>310</v>
      </c>
      <c r="H7" s="10"/>
    </row>
    <row r="8" spans="1:8" ht="18.75" x14ac:dyDescent="0.3">
      <c r="A8" s="29" t="s">
        <v>11</v>
      </c>
      <c r="B8" s="52"/>
      <c r="C8" s="33">
        <f>G13</f>
        <v>124.95</v>
      </c>
      <c r="E8" s="11" t="s">
        <v>26</v>
      </c>
      <c r="G8" s="79">
        <v>14</v>
      </c>
      <c r="H8" s="10"/>
    </row>
    <row r="9" spans="1:8" ht="18.75" x14ac:dyDescent="0.3">
      <c r="A9" s="29" t="s">
        <v>8</v>
      </c>
      <c r="B9" s="83" t="s">
        <v>19</v>
      </c>
      <c r="C9" s="34">
        <f>IF(B9="Bulk",($G$6*G15),IF(B9="Dr",($G$6*G16),IF(B9="BnB",($G$6*G17),IF(B9="5qt.",($G$6*G18),IF(B9="1qt.",($G$6*G19),IF(B9="1gal",($G$6*G20),0))))))</f>
        <v>31.666666666666664</v>
      </c>
      <c r="E9" s="11"/>
      <c r="G9" s="12"/>
      <c r="H9" s="10"/>
    </row>
    <row r="10" spans="1:8" ht="18.75" x14ac:dyDescent="0.3">
      <c r="A10" s="27" t="s">
        <v>31</v>
      </c>
      <c r="B10" s="53"/>
      <c r="C10" s="34">
        <f>C8-C9</f>
        <v>93.283333333333331</v>
      </c>
      <c r="E10" s="8" t="s">
        <v>27</v>
      </c>
      <c r="H10" s="10"/>
    </row>
    <row r="11" spans="1:8" ht="19.5" thickBot="1" x14ac:dyDescent="0.35">
      <c r="A11" s="47"/>
      <c r="B11" s="48"/>
      <c r="C11" s="49"/>
      <c r="E11" s="11"/>
      <c r="F11" s="13"/>
      <c r="G11" s="14" t="s">
        <v>38</v>
      </c>
      <c r="H11" s="15" t="s">
        <v>39</v>
      </c>
    </row>
    <row r="12" spans="1:8" ht="19.5" thickBot="1" x14ac:dyDescent="0.35">
      <c r="A12" s="35" t="s">
        <v>41</v>
      </c>
      <c r="B12" s="44">
        <f>G5</f>
        <v>0.1</v>
      </c>
      <c r="C12" s="36">
        <f>((G5*G4)*C4)*C10</f>
        <v>86753.5</v>
      </c>
      <c r="E12" s="16" t="s">
        <v>14</v>
      </c>
      <c r="G12" s="84" t="s">
        <v>30</v>
      </c>
      <c r="H12" s="87" t="s">
        <v>69</v>
      </c>
    </row>
    <row r="13" spans="1:8" ht="15.75" thickBot="1" x14ac:dyDescent="0.3">
      <c r="A13" s="3"/>
      <c r="B13" s="54"/>
      <c r="C13" s="4"/>
      <c r="E13" s="11" t="s">
        <v>25</v>
      </c>
      <c r="G13" s="80">
        <v>124.95</v>
      </c>
      <c r="H13" s="10"/>
    </row>
    <row r="14" spans="1:8" ht="18.75" x14ac:dyDescent="0.3">
      <c r="A14" s="37" t="s">
        <v>6</v>
      </c>
      <c r="B14" s="45"/>
      <c r="C14" s="38" t="str">
        <f>G22</f>
        <v>Mobil 1</v>
      </c>
      <c r="E14" s="91" t="s">
        <v>0</v>
      </c>
      <c r="F14" s="92"/>
      <c r="G14" s="17" t="s">
        <v>21</v>
      </c>
      <c r="H14" s="15" t="s">
        <v>20</v>
      </c>
    </row>
    <row r="15" spans="1:8" ht="18.75" x14ac:dyDescent="0.3">
      <c r="A15" s="29" t="s">
        <v>7</v>
      </c>
      <c r="B15" s="51"/>
      <c r="C15" s="39">
        <f>G23</f>
        <v>119.99</v>
      </c>
      <c r="E15" s="11" t="s">
        <v>34</v>
      </c>
      <c r="F15" s="13" t="s">
        <v>1</v>
      </c>
      <c r="G15" s="80">
        <v>23.58</v>
      </c>
      <c r="H15" s="18" t="s">
        <v>22</v>
      </c>
    </row>
    <row r="16" spans="1:8" ht="18.75" x14ac:dyDescent="0.3">
      <c r="A16" s="29" t="s">
        <v>8</v>
      </c>
      <c r="B16" s="86" t="s">
        <v>1</v>
      </c>
      <c r="C16" s="33">
        <f>IF(B16="Bulk",($G$6*G25),IF(B16="Dr",($G$6*G26),IF(B16="BnB",($G$6*G27),IF(B16="5qt.",($G$6*G28),IF(B16="1qt.",($G$6*G29),IF(B16="1gal",($G$6*G30),0))))))</f>
        <v>31.875</v>
      </c>
      <c r="E16" s="11" t="s">
        <v>34</v>
      </c>
      <c r="F16" s="13" t="s">
        <v>33</v>
      </c>
      <c r="G16" s="63">
        <f>H16/55</f>
        <v>25.976727272727274</v>
      </c>
      <c r="H16" s="81">
        <v>1428.72</v>
      </c>
    </row>
    <row r="17" spans="1:11" ht="18.75" x14ac:dyDescent="0.3">
      <c r="A17" s="29" t="s">
        <v>9</v>
      </c>
      <c r="B17" s="53"/>
      <c r="C17" s="34">
        <f>C15-C16</f>
        <v>88.114999999999995</v>
      </c>
      <c r="E17" s="11" t="s">
        <v>34</v>
      </c>
      <c r="F17" s="13" t="s">
        <v>19</v>
      </c>
      <c r="G17" s="64">
        <f>H17/6</f>
        <v>25.333333333333332</v>
      </c>
      <c r="H17" s="81">
        <v>152</v>
      </c>
    </row>
    <row r="18" spans="1:11" ht="18.75" x14ac:dyDescent="0.3">
      <c r="A18" s="27"/>
      <c r="B18" s="53"/>
      <c r="C18" s="28"/>
      <c r="E18" s="11" t="s">
        <v>34</v>
      </c>
      <c r="F18" s="13" t="s">
        <v>16</v>
      </c>
      <c r="G18" s="64">
        <f>H18/3.75</f>
        <v>29.175999999999998</v>
      </c>
      <c r="H18" s="81">
        <v>109.41</v>
      </c>
    </row>
    <row r="19" spans="1:11" ht="18.75" x14ac:dyDescent="0.3">
      <c r="A19" s="25" t="s">
        <v>43</v>
      </c>
      <c r="B19" s="50"/>
      <c r="C19" s="40">
        <f>C10-C17</f>
        <v>5.1683333333333366</v>
      </c>
      <c r="E19" s="11" t="s">
        <v>34</v>
      </c>
      <c r="F19" s="13" t="s">
        <v>17</v>
      </c>
      <c r="G19" s="65">
        <f>H19/1.5</f>
        <v>30.8</v>
      </c>
      <c r="H19" s="81">
        <v>46.2</v>
      </c>
    </row>
    <row r="20" spans="1:11" x14ac:dyDescent="0.25">
      <c r="A20" s="3"/>
      <c r="B20" s="54"/>
      <c r="C20" s="1"/>
      <c r="E20" s="16" t="s">
        <v>36</v>
      </c>
      <c r="F20" s="19" t="s">
        <v>18</v>
      </c>
      <c r="G20" s="65">
        <f>H20/4</f>
        <v>23.017499999999998</v>
      </c>
      <c r="H20" s="81">
        <v>92.07</v>
      </c>
    </row>
    <row r="21" spans="1:11" ht="18.75" x14ac:dyDescent="0.3">
      <c r="A21" s="27" t="s">
        <v>42</v>
      </c>
      <c r="B21" s="53"/>
      <c r="C21" s="34">
        <f>C19*(C5*G5)</f>
        <v>4806.5500000000029</v>
      </c>
      <c r="E21" s="11"/>
      <c r="H21" s="20"/>
    </row>
    <row r="22" spans="1:11" ht="18.75" x14ac:dyDescent="0.3">
      <c r="A22" s="29" t="s">
        <v>12</v>
      </c>
      <c r="B22" s="51"/>
      <c r="C22" s="41">
        <f>G8</f>
        <v>14</v>
      </c>
      <c r="E22" s="11" t="s">
        <v>15</v>
      </c>
      <c r="G22" s="85" t="s">
        <v>70</v>
      </c>
      <c r="H22" s="20"/>
    </row>
    <row r="23" spans="1:11" ht="19.5" thickBot="1" x14ac:dyDescent="0.35">
      <c r="A23" s="35" t="s">
        <v>13</v>
      </c>
      <c r="B23" s="46"/>
      <c r="C23" s="36">
        <f>C21*C22</f>
        <v>67291.700000000041</v>
      </c>
      <c r="E23" s="11" t="s">
        <v>11</v>
      </c>
      <c r="G23" s="80">
        <v>119.99</v>
      </c>
      <c r="H23" s="20"/>
    </row>
    <row r="24" spans="1:11" ht="15.75" thickBot="1" x14ac:dyDescent="0.3">
      <c r="A24" s="55"/>
      <c r="B24" s="56"/>
      <c r="C24" s="57"/>
      <c r="E24" s="91" t="s">
        <v>0</v>
      </c>
      <c r="F24" s="92"/>
      <c r="G24" s="17" t="s">
        <v>21</v>
      </c>
      <c r="H24" s="21" t="s">
        <v>20</v>
      </c>
    </row>
    <row r="25" spans="1:11" x14ac:dyDescent="0.25">
      <c r="E25" s="11" t="s">
        <v>34</v>
      </c>
      <c r="F25" s="13" t="s">
        <v>1</v>
      </c>
      <c r="G25" s="80">
        <v>25.5</v>
      </c>
      <c r="H25" s="20" t="s">
        <v>22</v>
      </c>
    </row>
    <row r="26" spans="1:11" x14ac:dyDescent="0.25">
      <c r="E26" s="11" t="s">
        <v>34</v>
      </c>
      <c r="F26" s="13" t="s">
        <v>33</v>
      </c>
      <c r="G26" s="63">
        <f>H26/55</f>
        <v>0</v>
      </c>
      <c r="H26" s="81"/>
    </row>
    <row r="27" spans="1:11" x14ac:dyDescent="0.25">
      <c r="E27" s="11" t="s">
        <v>34</v>
      </c>
      <c r="F27" s="13" t="s">
        <v>19</v>
      </c>
      <c r="G27" s="64">
        <f>H27/6</f>
        <v>0</v>
      </c>
      <c r="H27" s="81"/>
    </row>
    <row r="28" spans="1:11" ht="28.5" customHeight="1" x14ac:dyDescent="0.25">
      <c r="E28" s="11" t="s">
        <v>34</v>
      </c>
      <c r="F28" s="13" t="s">
        <v>16</v>
      </c>
      <c r="G28" s="64">
        <f>H28/3.75</f>
        <v>0</v>
      </c>
      <c r="H28" s="81"/>
      <c r="K28" s="74"/>
    </row>
    <row r="29" spans="1:11" ht="13.5" customHeight="1" x14ac:dyDescent="0.25">
      <c r="E29" s="11" t="s">
        <v>34</v>
      </c>
      <c r="F29" s="13" t="s">
        <v>17</v>
      </c>
      <c r="G29" s="65">
        <f>H29/1.5</f>
        <v>0</v>
      </c>
      <c r="H29" s="81"/>
    </row>
    <row r="30" spans="1:11" x14ac:dyDescent="0.25">
      <c r="E30" s="22" t="s">
        <v>35</v>
      </c>
      <c r="F30" s="23" t="s">
        <v>18</v>
      </c>
      <c r="G30" s="66">
        <f>H30/4</f>
        <v>0</v>
      </c>
      <c r="H30" s="82">
        <v>0</v>
      </c>
    </row>
    <row r="33" spans="1:6" hidden="1" x14ac:dyDescent="0.25"/>
    <row r="34" spans="1:6" hidden="1" x14ac:dyDescent="0.25">
      <c r="A34" s="54"/>
      <c r="E34" s="70" t="s">
        <v>59</v>
      </c>
    </row>
    <row r="35" spans="1:6" hidden="1" x14ac:dyDescent="0.25">
      <c r="A35" s="67"/>
      <c r="E35" s="71" t="s">
        <v>44</v>
      </c>
    </row>
    <row r="36" spans="1:6" hidden="1" x14ac:dyDescent="0.25">
      <c r="A36" s="68"/>
      <c r="E36" s="72" t="s">
        <v>45</v>
      </c>
      <c r="F36" t="s">
        <v>67</v>
      </c>
    </row>
    <row r="37" spans="1:6" hidden="1" x14ac:dyDescent="0.25">
      <c r="A37" s="68"/>
      <c r="F37" t="s">
        <v>48</v>
      </c>
    </row>
    <row r="38" spans="1:6" hidden="1" x14ac:dyDescent="0.25">
      <c r="A38" s="68"/>
      <c r="F38" t="s">
        <v>49</v>
      </c>
    </row>
    <row r="39" spans="1:6" hidden="1" x14ac:dyDescent="0.25">
      <c r="F39" t="s">
        <v>50</v>
      </c>
    </row>
    <row r="40" spans="1:6" hidden="1" x14ac:dyDescent="0.25">
      <c r="F40" t="s">
        <v>51</v>
      </c>
    </row>
    <row r="41" spans="1:6" hidden="1" x14ac:dyDescent="0.25">
      <c r="E41" s="73" t="s">
        <v>46</v>
      </c>
    </row>
    <row r="42" spans="1:6" hidden="1" x14ac:dyDescent="0.25">
      <c r="E42" s="73" t="s">
        <v>47</v>
      </c>
    </row>
    <row r="43" spans="1:6" hidden="1" x14ac:dyDescent="0.25"/>
    <row r="44" spans="1:6" hidden="1" x14ac:dyDescent="0.25"/>
    <row r="45" spans="1:6" hidden="1" x14ac:dyDescent="0.25"/>
    <row r="46" spans="1:6" hidden="1" x14ac:dyDescent="0.25">
      <c r="E46" s="70" t="s">
        <v>68</v>
      </c>
    </row>
    <row r="47" spans="1:6" hidden="1" x14ac:dyDescent="0.25">
      <c r="E47" s="75" t="s">
        <v>52</v>
      </c>
    </row>
    <row r="48" spans="1:6" hidden="1" x14ac:dyDescent="0.25">
      <c r="E48" t="s">
        <v>58</v>
      </c>
    </row>
    <row r="49" spans="5:7" hidden="1" x14ac:dyDescent="0.25">
      <c r="E49" s="60" t="s">
        <v>53</v>
      </c>
    </row>
    <row r="50" spans="5:7" hidden="1" x14ac:dyDescent="0.25">
      <c r="E50" s="61" t="s">
        <v>54</v>
      </c>
    </row>
    <row r="51" spans="5:7" hidden="1" x14ac:dyDescent="0.25">
      <c r="E51" s="61" t="s">
        <v>55</v>
      </c>
    </row>
    <row r="52" spans="5:7" hidden="1" x14ac:dyDescent="0.25">
      <c r="E52" s="60" t="s">
        <v>56</v>
      </c>
    </row>
    <row r="53" spans="5:7" ht="60" hidden="1" x14ac:dyDescent="0.25">
      <c r="E53" s="62" t="s">
        <v>57</v>
      </c>
    </row>
    <row r="54" spans="5:7" hidden="1" x14ac:dyDescent="0.25"/>
    <row r="55" spans="5:7" hidden="1" x14ac:dyDescent="0.25"/>
    <row r="56" spans="5:7" hidden="1" x14ac:dyDescent="0.25">
      <c r="E56" s="70" t="s">
        <v>65</v>
      </c>
    </row>
    <row r="57" spans="5:7" ht="66" hidden="1" customHeight="1" x14ac:dyDescent="0.25">
      <c r="E57" s="93" t="s">
        <v>60</v>
      </c>
      <c r="F57" s="93"/>
      <c r="G57" s="93"/>
    </row>
    <row r="58" spans="5:7" hidden="1" x14ac:dyDescent="0.25"/>
    <row r="59" spans="5:7" hidden="1" x14ac:dyDescent="0.25">
      <c r="E59" s="59" t="s">
        <v>61</v>
      </c>
    </row>
    <row r="60" spans="5:7" hidden="1" x14ac:dyDescent="0.25"/>
    <row r="61" spans="5:7" hidden="1" x14ac:dyDescent="0.25">
      <c r="E61" s="58" t="s">
        <v>62</v>
      </c>
    </row>
    <row r="62" spans="5:7" hidden="1" x14ac:dyDescent="0.25"/>
    <row r="63" spans="5:7" ht="15.75" hidden="1" thickBot="1" x14ac:dyDescent="0.3">
      <c r="E63" s="69" t="s">
        <v>63</v>
      </c>
    </row>
    <row r="64" spans="5:7" ht="60" hidden="1" customHeight="1" x14ac:dyDescent="0.25">
      <c r="E64" s="94" t="s">
        <v>64</v>
      </c>
      <c r="F64" s="94"/>
      <c r="G64" s="94"/>
    </row>
    <row r="65" spans="5:7" hidden="1" x14ac:dyDescent="0.25"/>
    <row r="66" spans="5:7" hidden="1" x14ac:dyDescent="0.25"/>
    <row r="67" spans="5:7" ht="34.15" hidden="1" customHeight="1" x14ac:dyDescent="0.25">
      <c r="E67" s="88" t="s">
        <v>66</v>
      </c>
      <c r="F67" s="88"/>
      <c r="G67" s="88"/>
    </row>
    <row r="68" spans="5:7" hidden="1" x14ac:dyDescent="0.25"/>
    <row r="69" spans="5:7" hidden="1" x14ac:dyDescent="0.25"/>
  </sheetData>
  <sheetProtection sheet="1" objects="1" scenarios="1" selectLockedCells="1"/>
  <mergeCells count="6">
    <mergeCell ref="E67:G67"/>
    <mergeCell ref="B2:C2"/>
    <mergeCell ref="E14:F14"/>
    <mergeCell ref="E24:F24"/>
    <mergeCell ref="E57:G57"/>
    <mergeCell ref="E64:G64"/>
  </mergeCells>
  <dataValidations count="2">
    <dataValidation type="list" allowBlank="1" showInputMessage="1" showErrorMessage="1" sqref="B9" xr:uid="{4BEB93C8-B0CA-4C97-A86C-0C1C21A3897A}">
      <formula1>$F$15:$F$20</formula1>
    </dataValidation>
    <dataValidation type="list" allowBlank="1" showInputMessage="1" showErrorMessage="1" sqref="B16" xr:uid="{FFE77C18-1393-4318-B5DE-CEF7C33C2061}">
      <formula1>$F$25:$F$30</formula1>
    </dataValidation>
  </dataValidations>
  <printOptions horizontalCentered="1"/>
  <pageMargins left="0.7" right="0.7" top="0.75" bottom="0.75" header="0.3" footer="0.3"/>
  <pageSetup orientation="portrait" r:id="rId1"/>
  <rowBreaks count="1" manualBreakCount="1"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RP vs Top-Selling Brand</vt:lpstr>
      <vt:lpstr>'RP vs Top-Selling Brand'!Print_Area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Reed</dc:creator>
  <cp:lastModifiedBy>Chase Butler</cp:lastModifiedBy>
  <cp:lastPrinted>2025-03-24T19:31:13Z</cp:lastPrinted>
  <dcterms:created xsi:type="dcterms:W3CDTF">2024-01-16T21:13:56Z</dcterms:created>
  <dcterms:modified xsi:type="dcterms:W3CDTF">2026-03-25T16:46:27Z</dcterms:modified>
</cp:coreProperties>
</file>